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Project" sheetId="1" r:id="rId1"/>
  </sheets>
  <definedNames>
    <definedName name="_xlnm._FilterDatabase" localSheetId="0" hidden="1">Project!$A$3:$E$19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<sst xmlns="http://schemas.openxmlformats.org/spreadsheetml/2006/main" count="133" uniqueCount="96">
  <si>
    <t>Total Project Tracking</t>
  </si>
  <si>
    <t>Information in the columns A-E are filled in the project initiation; columns F-J to be filled by the end of each development iteration</t>
  </si>
  <si>
    <t>#</t>
  </si>
  <si>
    <t>Screen/Function</t>
  </si>
  <si>
    <t>Feature</t>
  </si>
  <si>
    <t>Actor</t>
  </si>
  <si>
    <t>Screen/Function Description</t>
  </si>
  <si>
    <t>Complexity</t>
  </si>
  <si>
    <t>In Charge</t>
  </si>
  <si>
    <t>Status</t>
  </si>
  <si>
    <t>Update Details</t>
  </si>
  <si>
    <t>User Login &amp; Authentication</t>
  </si>
  <si>
    <t>Security / Common</t>
  </si>
  <si>
    <t>All Users (Admin, Owner, Jockey, Referee)</t>
  </si>
  <si>
    <t>Provides an API for users to log into the system. Validates credentials and returns a JWT token for secure requests.</t>
  </si>
  <si>
    <t>Medium</t>
  </si>
  <si>
    <t>Lê Nguyễn Chánh Nghĩa, Cao Nhật Lâm</t>
  </si>
  <si>
    <t>Done</t>
  </si>
  <si>
    <t>Completed Spring Security and JWT configuration.</t>
  </si>
  <si>
    <t>Manage Users</t>
  </si>
  <si>
    <t>User Management</t>
  </si>
  <si>
    <t>Admin</t>
  </si>
  <si>
    <t>Management screen for all system users. Allows creating, updating, disabling accounts, and assigning roles (Owner, Jockey, Referee).</t>
  </si>
  <si>
    <t>Complex</t>
  </si>
  <si>
    <t>Cao Nhật Lâm, Bùi Đức Tài, Đỗ Quốc Huy,Lê Nguyễn Chánh Nghĩa, Võ Thành Đạt</t>
  </si>
  <si>
    <t>Horse Management (CRUD)</t>
  </si>
  <si>
    <t>Horse Data</t>
  </si>
  <si>
    <t>Admin, Horse Owner</t>
  </si>
  <si>
    <t>Allows adding, editing, and deleting basic horse information (name, breed, age, weight). Includes authorization checks for the Owner.</t>
  </si>
  <si>
    <t>Bùi Đức Tài, Đỗ Quốc Huy</t>
  </si>
  <si>
    <t>Horse Retirement</t>
  </si>
  <si>
    <t>Handles the business logic for retiring a horse, changing its status from active racing to retired, and archiving its history.</t>
  </si>
  <si>
    <t>Simple</t>
  </si>
  <si>
    <t>Cao Nhật Lâm, Đỗ Quốc Huy</t>
  </si>
  <si>
    <t>Jockey Management</t>
  </si>
  <si>
    <t>Jockey Data</t>
  </si>
  <si>
    <t xml:space="preserve">Manages information and profiles for jockeys. Updates their status and assigns them to upcoming races.	</t>
  </si>
  <si>
    <t>Bùi Đức Tài</t>
  </si>
  <si>
    <t>Manage Race &amp; Tournaments</t>
  </si>
  <si>
    <t xml:space="preserve">Race Management	</t>
  </si>
  <si>
    <t>Creates new seasons and races, schedules events, and allocates horses and jockeys to specific races.</t>
  </si>
  <si>
    <t xml:space="preserve">Complex  </t>
  </si>
  <si>
    <t>Resolved the logic to prevent race scheduling conflicts.</t>
  </si>
  <si>
    <t>View Public Schedules &amp; Results</t>
  </si>
  <si>
    <t>Public Data</t>
  </si>
  <si>
    <t>Guest, All Users</t>
  </si>
  <si>
    <t>Allows guests to view upcoming race schedules and past race results without requiring an account login.</t>
  </si>
  <si>
    <t>Cao Nhật Lâm, Bùi Đức Tài, Võ Thành Đạt</t>
  </si>
  <si>
    <t xml:space="preserve">Done	</t>
  </si>
  <si>
    <t>Referee Actions</t>
  </si>
  <si>
    <t>Race Execution</t>
  </si>
  <si>
    <t>Referee</t>
  </si>
  <si>
    <t>Dedicated functionality for referees to update match statuses, input final results, and record placements after a race ends.</t>
  </si>
  <si>
    <t>Public Chat</t>
  </si>
  <si>
    <t>Communication</t>
  </si>
  <si>
    <t>All Users</t>
  </si>
  <si>
    <t>A general chat channel that allows users to discuss races and tournaments.</t>
  </si>
  <si>
    <t>May need to consider WebSocket integration in the future for real-time updates.</t>
  </si>
  <si>
    <t>AI Chatbot Integration</t>
  </si>
  <si>
    <t>AI Q&amp;A Assistant</t>
  </si>
  <si>
    <t>Provides an AI-powered conversational chatbot to answer questions about horses, jockeys, owners, and tournament rules in English, Vietnamese, Japanese, and Chinese.</t>
  </si>
  <si>
    <t>Cao Nhật Lâm, Lê Nguyễn Chánh Nghĩa</t>
  </si>
  <si>
    <t>Integrated standalone Flask-based chatbot, set UTF-8 pyodbc database rules, and implemented a floating chatbot bubble UI on Frontend.</t>
  </si>
  <si>
    <t>Spectator Dashboard Charts</t>
  </si>
  <si>
    <t>Analytics / Visualization</t>
  </si>
  <si>
    <t>Spectator</t>
  </si>
  <si>
    <t>Provides interactive SVG/CSS performance charts and historical statistics on the spectator dashboard.</t>
  </si>
  <si>
    <t>Designed responsive SVG bar/line charts and performance summary tables with mobile layout support.</t>
  </si>
  <si>
    <t>Real-time Livestream Chat</t>
  </si>
  <si>
    <t>Communication / Live</t>
  </si>
  <si>
    <t>Spectator, All Users</t>
  </si>
  <si>
    <t>Supports real-time chat in active race rooms using WebSockets for instantaneous messages.</t>
  </si>
  <si>
    <t>Cao Nhật Lâm, Bùi Đức Tài</t>
  </si>
  <si>
    <t>Replaced legacy polling with backend WebSocket handlers and designed live chat box UI next to stream player.</t>
  </si>
  <si>
    <t>Server-side Pagination &amp; Searching</t>
  </si>
  <si>
    <t>Optimization / Performance</t>
  </si>
  <si>
    <t>Admin, Horse Owner, Jockey, Referee</t>
  </si>
  <si>
    <t>Implements backend page requests and frontend search input filters for listing users, horses, and races.</t>
  </si>
  <si>
    <t>Cao Nhật Lâm, Bùi Đức Tài, Lê Nguyễn Chánh Nghĩa</t>
  </si>
  <si>
    <t>Optimized database loading times and improved UI usability with server-side pagination controllers.</t>
  </si>
  <si>
    <t>Stewards' Inquiry &amp; Weight Comparison</t>
  </si>
  <si>
    <t>Race Integrity</t>
  </si>
  <si>
    <t>Referee, Admin</t>
  </si>
  <si>
    <t>Validates jockey weigh-out vs. weigh-in weights and displays a flashing alert banner when there is a stewards' inquiry.</t>
  </si>
  <si>
    <t>Cao Nhật Lâm</t>
  </si>
  <si>
    <t>Implemented frontend alerts and backend validations for weigh-in discrepancies.</t>
  </si>
  <si>
    <t>Automated Race Cancellation</t>
  </si>
  <si>
    <t>Business Rule / Automation</t>
  </si>
  <si>
    <t>System / Admin</t>
  </si>
  <si>
    <t>Automatically cancels scheduled races that do not meet the minimum horse entries by the registration deadline.</t>
  </si>
  <si>
    <t>Integrated background timer task to check race registrations and auto-expire pending invitations.</t>
  </si>
  <si>
    <t xml:space="preserve">Multilingual System </t>
  </si>
  <si>
    <t>Localization</t>
  </si>
  <si>
    <t>Translates the entire frontend interface including dashboards, error messages, and table fields using dictionary keys.</t>
  </si>
  <si>
    <t>Lê Nguyễn Chánh Nghĩa, Bùi Đức Tài</t>
  </si>
  <si>
    <t>Created dictionary.json mapping and configured i18n.ts provider on React frontend.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</si>
</sst>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0"/>
      <color rgb="FF000000"/>
      <name val="Arial"/>
      <charset val="134"/>
    </font>
    <font>
      <b/>
      <sz val="14"/>
      <color rgb="FF000000"/>
      <name val="Arial"/>
      <charset val="134"/>
    </font>
    <font>
      <i/>
      <sz val="10"/>
      <color rgb="FFC00000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6" fillId="0" borderId="0">
      <alignment vertical="center"/>
    </xf>
    <xf numFmtId="44" fontId="6" fillId="0" borderId="0">
      <alignment vertical="center"/>
    </xf>
    <xf numFmtId="9" fontId="6" fillId="0" borderId="0">
      <alignment vertical="center"/>
    </xf>
    <xf numFmtId="177" fontId="6" fillId="0" borderId="0">
      <alignment vertical="center"/>
    </xf>
    <xf numFmtId="42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6" fillId="3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4" borderId="5">
      <alignment vertical="center"/>
    </xf>
    <xf numFmtId="0" fontId="16" fillId="5" borderId="6">
      <alignment vertical="center"/>
    </xf>
    <xf numFmtId="0" fontId="17" fillId="5" borderId="5">
      <alignment vertical="center"/>
    </xf>
    <xf numFmtId="0" fontId="18" fillId="6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2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  <xf numFmtId="0" fontId="0" fillId="0" borderId="0"/>
    <xf numFmtId="0" fontId="0" fillId="0" borderId="0"/>
    <xf numFmtId="0" fontId="26" fillId="0" borderId="0"/>
  </cellStyleXfs>
  <cellXfs count="20">
    <xf numFmtId="0" fontId="0" fillId="0" borderId="0" xfId="0"/>
    <xf numFmtId="0" fontId="0" fillId="0" borderId="0" xfId="49" applyAlignment="1">
      <alignment horizontal="center" vertical="top"/>
    </xf>
    <xf numFmtId="0" fontId="0" fillId="0" borderId="0" xfId="49" applyAlignment="1">
      <alignment vertical="top"/>
    </xf>
    <xf numFmtId="0" fontId="1" fillId="0" borderId="0" xfId="49" applyFont="1" applyAlignment="1">
      <alignment horizontal="left" vertical="top"/>
    </xf>
    <xf numFmtId="0" fontId="2" fillId="0" borderId="0" xfId="49" applyFont="1" applyAlignment="1">
      <alignment horizontal="left" vertical="top"/>
    </xf>
    <xf numFmtId="0" fontId="3" fillId="2" borderId="1" xfId="49" applyFont="1" applyFill="1" applyBorder="1" applyAlignment="1">
      <alignment horizontal="left" vertical="top"/>
    </xf>
    <xf numFmtId="0" fontId="4" fillId="2" borderId="1" xfId="49" applyFont="1" applyFill="1" applyBorder="1" applyAlignment="1">
      <alignment vertical="top"/>
    </xf>
    <xf numFmtId="0" fontId="3" fillId="0" borderId="1" xfId="49" applyFont="1" applyBorder="1" applyAlignment="1">
      <alignment horizontal="center" vertical="top"/>
    </xf>
    <xf numFmtId="0" fontId="3" fillId="0" borderId="1" xfId="49" applyFont="1" applyBorder="1" applyAlignment="1">
      <alignment vertical="top"/>
    </xf>
    <xf numFmtId="0" fontId="3" fillId="0" borderId="1" xfId="49" applyFont="1" applyBorder="1" applyAlignment="1">
      <alignment vertical="top" wrapText="1"/>
    </xf>
    <xf numFmtId="0" fontId="3" fillId="0" borderId="1" xfId="49" applyFont="1" applyBorder="1" applyAlignment="1">
      <alignment horizontal="left" vertical="top" wrapText="1"/>
    </xf>
    <xf numFmtId="0" fontId="5" fillId="0" borderId="1" xfId="50" applyFont="1" applyBorder="1" applyAlignment="1">
      <alignment horizontal="left" vertical="top" wrapText="1"/>
    </xf>
    <xf numFmtId="0" fontId="3" fillId="0" borderId="1" xfId="49" applyFont="1" applyBorder="1" applyAlignment="1">
      <alignment horizontal="left" vertical="top"/>
    </xf>
    <xf numFmtId="0" fontId="3" fillId="0" borderId="1" xfId="49" applyFont="1" applyBorder="1" applyAlignment="1">
      <alignment horizontal="center" vertical="top" wrapText="1"/>
    </xf>
    <xf numFmtId="0" fontId="3" fillId="0" borderId="1" xfId="49" applyFont="1" applyBorder="1" applyAlignment="1">
      <alignment horizontal="justify" vertical="top"/>
    </xf>
    <xf numFmtId="0" fontId="3" fillId="0" borderId="0" xfId="49" applyFont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1" xfId="49" applyFont="1" applyBorder="1" applyAlignment="1" quotePrefix="1">
      <alignment vertical="top" wrapText="1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9"/>
  <sheetViews>
    <sheetView tabSelected="1" zoomScale="110" zoomScaleNormal="110" workbookViewId="0">
      <pane ySplit="3" topLeftCell="A13" activePane="bottomLeft" state="frozen"/>
      <selection/>
      <selection pane="bottomLeft" activeCell="B19" sqref="B19"/>
    </sheetView>
  </sheetViews>
  <sheetFormatPr defaultColWidth="10.7818181818182" defaultRowHeight="12.5"/>
  <cols>
    <col min="1" max="1" width="4" style="1" customWidth="1"/>
    <col min="2" max="2" width="30.5545454545455" style="2" customWidth="1"/>
    <col min="3" max="3" width="13.6636363636364" style="2" customWidth="1"/>
    <col min="4" max="4" width="14" style="2" customWidth="1"/>
    <col min="5" max="5" width="50.6636363636364" style="2" customWidth="1"/>
    <col min="6" max="6" width="11.1090909090909" style="2" customWidth="1"/>
    <col min="7" max="7" width="19.7909090909091" style="2" customWidth="1"/>
    <col min="8" max="8" width="7.78181818181818" style="2" customWidth="1"/>
    <col min="9" max="9" width="45.4454545454545" style="2" customWidth="1"/>
    <col min="10" max="16384" width="10.7818181818182" style="2" customWidth="1"/>
  </cols>
  <sheetData>
    <row r="1" ht="17.4" customHeight="1" spans="1:9">
      <c r="A1" s="3" t="s">
        <v>0</v>
      </c>
    </row>
    <row r="2" spans="1:9">
      <c r="A2" s="4" t="s">
        <v>1</v>
      </c>
    </row>
    <row r="3" ht="13" spans="1:9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</row>
    <row r="4" ht="52.8" customHeight="1" spans="1:9">
      <c r="A4" s="7">
        <f>ROW()-3</f>
        <v>1</v>
      </c>
      <c r="B4" s="8" t="s">
        <v>11</v>
      </c>
      <c r="C4" s="9" t="s">
        <v>12</v>
      </c>
      <c r="D4" s="10" t="s">
        <v>13</v>
      </c>
      <c r="E4" s="9" t="s">
        <v>14</v>
      </c>
      <c r="F4" s="8" t="s">
        <v>15</v>
      </c>
      <c r="G4" s="11" t="s">
        <v>16</v>
      </c>
      <c r="H4" s="12" t="s">
        <v>17</v>
      </c>
      <c r="I4" s="9" t="s">
        <v>18</v>
      </c>
    </row>
    <row r="5" ht="52.8" customHeight="1" spans="1:9">
      <c r="A5" s="7">
        <f>ROW()-3</f>
        <v>2</v>
      </c>
      <c r="B5" s="8" t="s">
        <v>19</v>
      </c>
      <c r="C5" s="9" t="s">
        <v>20</v>
      </c>
      <c r="D5" s="10" t="s">
        <v>21</v>
      </c>
      <c r="E5" s="9" t="s">
        <v>22</v>
      </c>
      <c r="F5" s="8" t="s">
        <v>23</v>
      </c>
      <c r="G5" s="11" t="s">
        <v>24</v>
      </c>
      <c r="H5" s="12" t="s">
        <v>17</v>
      </c>
      <c r="I5" s="9"/>
    </row>
    <row r="6" ht="39.6" customHeight="1" spans="1:9">
      <c r="A6" s="7">
        <f>ROW()-3</f>
        <v>3</v>
      </c>
      <c r="B6" s="8" t="s">
        <v>25</v>
      </c>
      <c r="C6" s="9" t="s">
        <v>26</v>
      </c>
      <c r="D6" s="10" t="s">
        <v>27</v>
      </c>
      <c r="E6" s="9" t="s">
        <v>28</v>
      </c>
      <c r="F6" s="8" t="s">
        <v>15</v>
      </c>
      <c r="G6" s="11" t="s">
        <v>29</v>
      </c>
      <c r="H6" s="12" t="s">
        <v>17</v>
      </c>
      <c r="I6" s="9"/>
    </row>
    <row r="7" ht="26.4" customHeight="1" spans="1:9">
      <c r="A7" s="7">
        <f>ROW()-3</f>
        <v>4</v>
      </c>
      <c r="B7" s="8" t="s">
        <v>30</v>
      </c>
      <c r="C7" s="9" t="s">
        <v>26</v>
      </c>
      <c r="D7" s="10" t="s">
        <v>27</v>
      </c>
      <c r="E7" s="20" t="s">
        <v>31</v>
      </c>
      <c r="F7" s="8" t="s">
        <v>32</v>
      </c>
      <c r="G7" s="11" t="s">
        <v>33</v>
      </c>
      <c r="H7" s="12" t="s">
        <v>17</v>
      </c>
      <c r="I7" s="9"/>
    </row>
    <row r="8" ht="26.4" customHeight="1" spans="1:9">
      <c r="A8" s="7">
        <v>5</v>
      </c>
      <c r="B8" s="7" t="s">
        <v>34</v>
      </c>
      <c r="C8" s="13" t="s">
        <v>35</v>
      </c>
      <c r="D8" s="10" t="s">
        <v>21</v>
      </c>
      <c r="E8" s="10" t="s">
        <v>36</v>
      </c>
      <c r="F8" s="7" t="s">
        <v>15</v>
      </c>
      <c r="G8" s="14" t="s">
        <v>37</v>
      </c>
      <c r="H8" s="12" t="s">
        <v>17</v>
      </c>
      <c r="I8" s="13"/>
    </row>
    <row r="9" ht="52.8" customHeight="1" spans="1:9">
      <c r="A9" s="7">
        <v>6</v>
      </c>
      <c r="B9" s="7" t="s">
        <v>38</v>
      </c>
      <c r="C9" s="13" t="s">
        <v>39</v>
      </c>
      <c r="D9" s="10" t="s">
        <v>21</v>
      </c>
      <c r="E9" s="10" t="s">
        <v>40</v>
      </c>
      <c r="F9" s="7" t="s">
        <v>41</v>
      </c>
      <c r="G9" s="10" t="s">
        <v>24</v>
      </c>
      <c r="H9" s="12" t="s">
        <v>17</v>
      </c>
      <c r="I9" s="15" t="s">
        <v>42</v>
      </c>
    </row>
    <row r="10" ht="26.4" customHeight="1" spans="1:9">
      <c r="A10" s="7">
        <v>7</v>
      </c>
      <c r="B10" s="7" t="s">
        <v>43</v>
      </c>
      <c r="C10" s="13" t="s">
        <v>44</v>
      </c>
      <c r="D10" s="10" t="s">
        <v>45</v>
      </c>
      <c r="E10" s="13" t="s">
        <v>46</v>
      </c>
      <c r="F10" s="7" t="s">
        <v>15</v>
      </c>
      <c r="G10" s="10" t="s">
        <v>47</v>
      </c>
      <c r="H10" s="12" t="s">
        <v>48</v>
      </c>
      <c r="I10" s="13"/>
    </row>
    <row r="11" ht="52.8" customHeight="1" spans="1:9">
      <c r="A11" s="7">
        <v>8</v>
      </c>
      <c r="B11" s="7" t="s">
        <v>49</v>
      </c>
      <c r="C11" s="13" t="s">
        <v>50</v>
      </c>
      <c r="D11" s="10" t="s">
        <v>51</v>
      </c>
      <c r="E11" s="13" t="s">
        <v>52</v>
      </c>
      <c r="F11" s="7" t="s">
        <v>23</v>
      </c>
      <c r="G11" s="10" t="s">
        <v>24</v>
      </c>
      <c r="H11" s="12" t="s">
        <v>48</v>
      </c>
      <c r="I11" s="13"/>
    </row>
    <row r="12" ht="26.4" customHeight="1" spans="1:9">
      <c r="A12" s="7">
        <v>9</v>
      </c>
      <c r="B12" s="7" t="s">
        <v>53</v>
      </c>
      <c r="C12" s="13" t="s">
        <v>54</v>
      </c>
      <c r="D12" s="10" t="s">
        <v>55</v>
      </c>
      <c r="E12" s="13" t="s">
        <v>56</v>
      </c>
      <c r="F12" s="7" t="s">
        <v>32</v>
      </c>
      <c r="G12" s="10" t="s">
        <v>33</v>
      </c>
      <c r="H12" s="12" t="s">
        <v>48</v>
      </c>
      <c r="I12" s="13" t="s">
        <v>57</v>
      </c>
    </row>
    <row r="13" ht="37.5" spans="1:9">
      <c r="A13" s="7">
        <f t="shared" ref="A13:A19" si="0">ROW()-3</f>
        <v>10</v>
      </c>
      <c r="B13" s="7" t="s">
        <v>58</v>
      </c>
      <c r="C13" s="13" t="s">
        <v>59</v>
      </c>
      <c r="D13" s="10" t="s">
        <v>45</v>
      </c>
      <c r="E13" s="13" t="s">
        <v>60</v>
      </c>
      <c r="F13" s="7" t="s">
        <v>23</v>
      </c>
      <c r="G13" s="10" t="s">
        <v>61</v>
      </c>
      <c r="H13" s="12" t="s">
        <v>17</v>
      </c>
      <c r="I13" s="13" t="s">
        <v>62</v>
      </c>
    </row>
    <row r="14" ht="37.5" spans="1:9">
      <c r="A14" s="16">
        <f t="shared" si="0"/>
        <v>11</v>
      </c>
      <c r="B14" s="16" t="s">
        <v>63</v>
      </c>
      <c r="C14" s="17" t="s">
        <v>64</v>
      </c>
      <c r="D14" s="18" t="s">
        <v>65</v>
      </c>
      <c r="E14" s="17" t="s">
        <v>66</v>
      </c>
      <c r="F14" s="16" t="s">
        <v>15</v>
      </c>
      <c r="G14" s="18" t="s">
        <v>33</v>
      </c>
      <c r="H14" s="19" t="s">
        <v>17</v>
      </c>
      <c r="I14" s="17" t="s">
        <v>67</v>
      </c>
    </row>
    <row r="15" ht="37.5" spans="1:9">
      <c r="A15" s="16">
        <f t="shared" si="0"/>
        <v>12</v>
      </c>
      <c r="B15" s="16" t="s">
        <v>68</v>
      </c>
      <c r="C15" s="17" t="s">
        <v>69</v>
      </c>
      <c r="D15" s="18" t="s">
        <v>70</v>
      </c>
      <c r="E15" s="17" t="s">
        <v>71</v>
      </c>
      <c r="F15" s="16" t="s">
        <v>23</v>
      </c>
      <c r="G15" s="18" t="s">
        <v>72</v>
      </c>
      <c r="H15" s="19" t="s">
        <v>17</v>
      </c>
      <c r="I15" s="17" t="s">
        <v>73</v>
      </c>
    </row>
    <row r="16" ht="37.5" spans="1:9">
      <c r="A16" s="16">
        <f t="shared" si="0"/>
        <v>13</v>
      </c>
      <c r="B16" s="16" t="s">
        <v>74</v>
      </c>
      <c r="C16" s="17" t="s">
        <v>75</v>
      </c>
      <c r="D16" s="18" t="s">
        <v>76</v>
      </c>
      <c r="E16" s="17" t="s">
        <v>77</v>
      </c>
      <c r="F16" s="16" t="s">
        <v>15</v>
      </c>
      <c r="G16" s="18" t="s">
        <v>78</v>
      </c>
      <c r="H16" s="19" t="s">
        <v>17</v>
      </c>
      <c r="I16" s="17" t="s">
        <v>79</v>
      </c>
    </row>
    <row r="17" ht="25" spans="1:9">
      <c r="A17" s="16">
        <f t="shared" si="0"/>
        <v>14</v>
      </c>
      <c r="B17" s="16" t="s">
        <v>80</v>
      </c>
      <c r="C17" s="17" t="s">
        <v>81</v>
      </c>
      <c r="D17" s="18" t="s">
        <v>82</v>
      </c>
      <c r="E17" s="17" t="s">
        <v>83</v>
      </c>
      <c r="F17" s="16" t="s">
        <v>15</v>
      </c>
      <c r="G17" s="18" t="s">
        <v>84</v>
      </c>
      <c r="H17" s="19" t="s">
        <v>17</v>
      </c>
      <c r="I17" s="17" t="s">
        <v>85</v>
      </c>
    </row>
    <row r="18" ht="25" spans="1:9">
      <c r="A18" s="16">
        <f t="shared" si="0"/>
        <v>15</v>
      </c>
      <c r="B18" s="16" t="s">
        <v>86</v>
      </c>
      <c r="C18" s="17" t="s">
        <v>87</v>
      </c>
      <c r="D18" s="18" t="s">
        <v>88</v>
      </c>
      <c r="E18" s="17" t="s">
        <v>89</v>
      </c>
      <c r="F18" s="16" t="s">
        <v>15</v>
      </c>
      <c r="G18" s="18" t="s">
        <v>33</v>
      </c>
      <c r="H18" s="19" t="s">
        <v>17</v>
      </c>
      <c r="I18" s="17" t="s">
        <v>90</v>
      </c>
    </row>
    <row r="19" ht="25" spans="1:9">
      <c r="A19" s="16">
        <f t="shared" si="0"/>
        <v>16</v>
      </c>
      <c r="B19" s="16" t="s">
        <v>91</v>
      </c>
      <c r="C19" s="17" t="s">
        <v>92</v>
      </c>
      <c r="D19" s="18" t="s">
        <v>55</v>
      </c>
      <c r="E19" s="17" t="s">
        <v>93</v>
      </c>
      <c r="F19" s="16" t="s">
        <v>15</v>
      </c>
      <c r="G19" s="18" t="s">
        <v>94</v>
      </c>
      <c r="H19" s="19" t="s">
        <v>17</v>
      </c>
      <c r="I19" s="17" t="s">
        <v>95</v>
      </c>
    </row>
  </sheetData>
  <autoFilter xmlns:etc="http://www.wps.cn/officeDocument/2017/etCustomData" ref="A3:E19" etc:filterBottomFollowUsedRange="0">
    <extLst/>
  </autoFilter>
  <dataValidations count="2">
    <dataValidation type="list" allowBlank="1" showInputMessage="1" showErrorMessage="1" sqref="F4:F7">
      <formula1>"Simple, Medium, Complex"</formula1>
    </dataValidation>
    <dataValidation type="list" allowBlank="1" showInputMessage="1" showErrorMessage="1" sqref="H4:H7">
      <formula1>"To Do, Doing, Done, Updated"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KienNT</dc:creator>
  <cp:lastModifiedBy>18 Nhật Lâm 11A2</cp:lastModifiedBy>
  <dcterms:created xsi:type="dcterms:W3CDTF">2021-07-20T01:09:00Z</dcterms:created>
  <dcterms:modified xsi:type="dcterms:W3CDTF">2026-07-17T08:48:22Z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8BD163D630554B82BC3F5BF73E4F1A9A_12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